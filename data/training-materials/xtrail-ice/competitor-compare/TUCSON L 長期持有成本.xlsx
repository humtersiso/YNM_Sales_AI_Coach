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0710\Desktop\"/>
    </mc:Choice>
  </mc:AlternateContent>
  <xr:revisionPtr revIDLastSave="0" documentId="13_ncr:1_{33CFF6CA-E6FE-4185-80E2-1298914E71DD}" xr6:coauthVersionLast="47" xr6:coauthVersionMax="47" xr10:uidLastSave="{00000000-0000-0000-0000-000000000000}"/>
  <bookViews>
    <workbookView xWindow="-108" yWindow="-108" windowWidth="23256" windowHeight="12456" xr2:uid="{5DD6BE71-F095-425D-9DD2-51265E820FC3}"/>
  </bookViews>
  <sheets>
    <sheet name="使用成本" sheetId="1" r:id="rId1"/>
    <sheet name="折舊" sheetId="2" r:id="rId2"/>
    <sheet name="油耗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10" i="3"/>
  <c r="E8" i="3"/>
  <c r="D10" i="3"/>
  <c r="C10" i="3"/>
  <c r="D8" i="3"/>
  <c r="C8" i="3"/>
  <c r="E20" i="1"/>
  <c r="E21" i="1"/>
  <c r="E16" i="1"/>
  <c r="D18" i="1"/>
  <c r="C18" i="1"/>
  <c r="G18" i="1"/>
  <c r="D19" i="1"/>
  <c r="G19" i="1"/>
  <c r="C19" i="1"/>
  <c r="E19" i="1" s="1"/>
  <c r="E18" i="1" l="1"/>
  <c r="D12" i="1"/>
  <c r="D17" i="1" s="1"/>
  <c r="D22" i="1" s="1"/>
  <c r="C12" i="1"/>
  <c r="C17" i="1" s="1"/>
  <c r="G12" i="1"/>
  <c r="G17" i="1" s="1"/>
  <c r="G22" i="1" s="1"/>
  <c r="C22" i="1" l="1"/>
  <c r="E22" i="1" s="1"/>
  <c r="E17" i="1"/>
</calcChain>
</file>

<file path=xl/sharedStrings.xml><?xml version="1.0" encoding="utf-8"?>
<sst xmlns="http://schemas.openxmlformats.org/spreadsheetml/2006/main" count="47" uniqueCount="39">
  <si>
    <r>
      <t>1</t>
    </r>
    <r>
      <rPr>
        <sz val="14"/>
        <color rgb="FF000000"/>
        <rFont val="微軟正黑體"/>
        <family val="2"/>
        <charset val="136"/>
      </rPr>
      <t>萬公里定保</t>
    </r>
  </si>
  <si>
    <r>
      <t>2</t>
    </r>
    <r>
      <rPr>
        <sz val="14"/>
        <color rgb="FF000000"/>
        <rFont val="微軟正黑體"/>
        <family val="2"/>
        <charset val="136"/>
      </rPr>
      <t>萬公里定保</t>
    </r>
  </si>
  <si>
    <r>
      <t>3</t>
    </r>
    <r>
      <rPr>
        <sz val="14"/>
        <color rgb="FF000000"/>
        <rFont val="微軟正黑體"/>
        <family val="2"/>
        <charset val="136"/>
      </rPr>
      <t>萬公里定保</t>
    </r>
  </si>
  <si>
    <r>
      <t>4</t>
    </r>
    <r>
      <rPr>
        <sz val="14"/>
        <color rgb="FF000000"/>
        <rFont val="微軟正黑體"/>
        <family val="2"/>
        <charset val="136"/>
      </rPr>
      <t>萬公里定保</t>
    </r>
  </si>
  <si>
    <r>
      <t>5</t>
    </r>
    <r>
      <rPr>
        <sz val="14"/>
        <color rgb="FF000000"/>
        <rFont val="微軟正黑體"/>
        <family val="2"/>
        <charset val="136"/>
      </rPr>
      <t>萬公里定保</t>
    </r>
  </si>
  <si>
    <r>
      <t>6</t>
    </r>
    <r>
      <rPr>
        <sz val="14"/>
        <color rgb="FF000000"/>
        <rFont val="微軟正黑體"/>
        <family val="2"/>
        <charset val="136"/>
      </rPr>
      <t>萬公里定保</t>
    </r>
  </si>
  <si>
    <r>
      <t>7</t>
    </r>
    <r>
      <rPr>
        <sz val="14"/>
        <color rgb="FF000000"/>
        <rFont val="微軟正黑體"/>
        <family val="2"/>
        <charset val="136"/>
      </rPr>
      <t>萬公里定保</t>
    </r>
    <phoneticPr fontId="2" type="noConversion"/>
  </si>
  <si>
    <r>
      <t>8</t>
    </r>
    <r>
      <rPr>
        <sz val="14"/>
        <color rgb="FF000000"/>
        <rFont val="微軟正黑體"/>
        <family val="2"/>
        <charset val="136"/>
      </rPr>
      <t>萬公里定保</t>
    </r>
    <phoneticPr fontId="2" type="noConversion"/>
  </si>
  <si>
    <r>
      <rPr>
        <sz val="14"/>
        <color rgb="FF000000"/>
        <rFont val="微軟正黑體"/>
        <family val="2"/>
        <charset val="136"/>
      </rPr>
      <t>定保</t>
    </r>
    <phoneticPr fontId="2" type="noConversion"/>
  </si>
  <si>
    <r>
      <t>TUCSON L</t>
    </r>
    <r>
      <rPr>
        <sz val="14"/>
        <color rgb="FF000000"/>
        <rFont val="微軟正黑體"/>
        <family val="2"/>
        <charset val="136"/>
      </rPr>
      <t>汽油</t>
    </r>
    <phoneticPr fontId="2" type="noConversion"/>
  </si>
  <si>
    <r>
      <t>TUCSON L</t>
    </r>
    <r>
      <rPr>
        <sz val="14"/>
        <color rgb="FF000000"/>
        <rFont val="微軟正黑體"/>
        <family val="2"/>
        <charset val="136"/>
      </rPr>
      <t>渦輪油電</t>
    </r>
    <phoneticPr fontId="2" type="noConversion"/>
  </si>
  <si>
    <r>
      <t>X-TRAIL</t>
    </r>
    <r>
      <rPr>
        <sz val="14"/>
        <color rgb="FF000000"/>
        <rFont val="微軟正黑體"/>
        <family val="2"/>
        <charset val="136"/>
      </rPr>
      <t>輕油電</t>
    </r>
    <phoneticPr fontId="2" type="noConversion"/>
  </si>
  <si>
    <r>
      <rPr>
        <sz val="14"/>
        <color rgb="FF000000"/>
        <rFont val="微軟正黑體"/>
        <family val="2"/>
        <charset val="136"/>
      </rPr>
      <t>初次保養</t>
    </r>
  </si>
  <si>
    <r>
      <rPr>
        <sz val="14"/>
        <color rgb="FF000000"/>
        <rFont val="微軟正黑體"/>
        <family val="2"/>
        <charset val="136"/>
      </rPr>
      <t>累計至</t>
    </r>
    <r>
      <rPr>
        <sz val="14"/>
        <color rgb="FF000000"/>
        <rFont val="Nissan Brand Light"/>
        <family val="2"/>
      </rPr>
      <t xml:space="preserve"> 8</t>
    </r>
    <r>
      <rPr>
        <sz val="14"/>
        <color rgb="FF000000"/>
        <rFont val="微軟正黑體"/>
        <family val="2"/>
        <charset val="136"/>
      </rPr>
      <t>萬公里定保費用</t>
    </r>
    <phoneticPr fontId="2" type="noConversion"/>
  </si>
  <si>
    <r>
      <t>8</t>
    </r>
    <r>
      <rPr>
        <sz val="12"/>
        <color theme="1"/>
        <rFont val="微軟正黑體"/>
        <family val="2"/>
        <charset val="136"/>
      </rPr>
      <t>年成本</t>
    </r>
    <phoneticPr fontId="2" type="noConversion"/>
  </si>
  <si>
    <r>
      <rPr>
        <sz val="12"/>
        <color theme="1"/>
        <rFont val="微軟正黑體"/>
        <family val="2"/>
        <charset val="136"/>
      </rPr>
      <t>車價</t>
    </r>
    <phoneticPr fontId="2" type="noConversion"/>
  </si>
  <si>
    <r>
      <t>X-TRAIL</t>
    </r>
    <r>
      <rPr>
        <sz val="12"/>
        <color theme="1"/>
        <rFont val="微軟正黑體"/>
        <family val="2"/>
        <charset val="136"/>
      </rPr>
      <t>輕油電</t>
    </r>
    <phoneticPr fontId="2" type="noConversion"/>
  </si>
  <si>
    <r>
      <t xml:space="preserve">TUCSON L </t>
    </r>
    <r>
      <rPr>
        <sz val="12"/>
        <color theme="1"/>
        <rFont val="微軟正黑體"/>
        <family val="2"/>
        <charset val="136"/>
      </rPr>
      <t xml:space="preserve">油電 </t>
    </r>
    <r>
      <rPr>
        <sz val="12"/>
        <color theme="1"/>
        <rFont val="Nissan Brand Light"/>
        <family val="2"/>
      </rPr>
      <t>GLTH-B</t>
    </r>
    <phoneticPr fontId="2" type="noConversion"/>
  </si>
  <si>
    <r>
      <t xml:space="preserve">TUCSON L </t>
    </r>
    <r>
      <rPr>
        <sz val="12"/>
        <color theme="1"/>
        <rFont val="微軟正黑體"/>
        <family val="2"/>
        <charset val="136"/>
      </rPr>
      <t xml:space="preserve">汽油 </t>
    </r>
    <r>
      <rPr>
        <sz val="12"/>
        <color theme="1"/>
        <rFont val="Nissan Brand Light"/>
        <family val="2"/>
      </rPr>
      <t>GLT-B</t>
    </r>
    <phoneticPr fontId="2" type="noConversion"/>
  </si>
  <si>
    <r>
      <t>8</t>
    </r>
    <r>
      <rPr>
        <sz val="12"/>
        <color theme="1"/>
        <rFont val="Microsoft JhengHei"/>
        <family val="2"/>
      </rPr>
      <t>萬公里累計定保費用</t>
    </r>
    <phoneticPr fontId="2" type="noConversion"/>
  </si>
  <si>
    <r>
      <t>8</t>
    </r>
    <r>
      <rPr>
        <sz val="12"/>
        <color theme="1"/>
        <rFont val="Microsoft JhengHei"/>
        <family val="2"/>
      </rPr>
      <t>萬公里油耗</t>
    </r>
    <phoneticPr fontId="2" type="noConversion"/>
  </si>
  <si>
    <t>電池更換</t>
  </si>
  <si>
    <t>電池更換</t>
    <phoneticPr fontId="2" type="noConversion"/>
  </si>
  <si>
    <t>延長保固</t>
    <phoneticPr fontId="2" type="noConversion"/>
  </si>
  <si>
    <t>輪胎(4條)</t>
    <phoneticPr fontId="2" type="noConversion"/>
  </si>
  <si>
    <t>油耗</t>
    <phoneticPr fontId="2" type="noConversion"/>
  </si>
  <si>
    <r>
      <rPr>
        <sz val="12"/>
        <color theme="1"/>
        <rFont val="微軟正黑體"/>
        <family val="2"/>
        <charset val="136"/>
      </rPr>
      <t>中油</t>
    </r>
    <r>
      <rPr>
        <sz val="12"/>
        <color theme="1"/>
        <rFont val="Nissan Brand Light"/>
        <family val="2"/>
      </rPr>
      <t>95</t>
    </r>
    <r>
      <rPr>
        <sz val="12"/>
        <color theme="1"/>
        <rFont val="微軟正黑體"/>
        <family val="2"/>
        <charset val="136"/>
      </rPr>
      <t>油價</t>
    </r>
    <phoneticPr fontId="2" type="noConversion"/>
  </si>
  <si>
    <t>差異</t>
  </si>
  <si>
    <t>差異</t>
    <phoneticPr fontId="2" type="noConversion"/>
  </si>
  <si>
    <t>GLTH-B</t>
    <phoneticPr fontId="2" type="noConversion"/>
  </si>
  <si>
    <t>X-TRAIL</t>
    <phoneticPr fontId="2" type="noConversion"/>
  </si>
  <si>
    <t>第一年</t>
    <phoneticPr fontId="2" type="noConversion"/>
  </si>
  <si>
    <t>第二年</t>
    <phoneticPr fontId="2" type="noConversion"/>
  </si>
  <si>
    <t>用車成本</t>
  </si>
  <si>
    <t>X-TRAIL 輕油電</t>
  </si>
  <si>
    <t>TUCSON L 油電</t>
  </si>
  <si>
    <t>合計</t>
  </si>
  <si>
    <r>
      <t>8</t>
    </r>
    <r>
      <rPr>
        <sz val="16"/>
        <color rgb="FF000000"/>
        <rFont val="Microsoft JhengHei"/>
        <family val="2"/>
      </rPr>
      <t>萬公里油耗成本*</t>
    </r>
    <phoneticPr fontId="2" type="noConversion"/>
  </si>
  <si>
    <r>
      <t>16</t>
    </r>
    <r>
      <rPr>
        <sz val="16"/>
        <color rgb="FF000000"/>
        <rFont val="Microsoft JhengHei"/>
        <family val="2"/>
      </rPr>
      <t>萬公里油耗成本</t>
    </r>
    <r>
      <rPr>
        <sz val="16"/>
        <color rgb="FF000000"/>
        <rFont val="Nissan Brand Light"/>
        <family val="2"/>
      </rPr>
      <t>*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</si>
</sst>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#,##0_);[Red]\(#,##0\)"/>
  </numFmts>
  <fonts count="13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4"/>
      <color rgb="FF000000"/>
      <name val="Nissan Brand Light"/>
      <family val="2"/>
    </font>
    <font>
      <sz val="14"/>
      <color rgb="FF000000"/>
      <name val="微軟正黑體"/>
      <family val="2"/>
      <charset val="136"/>
    </font>
    <font>
      <b/>
      <sz val="14"/>
      <color rgb="FFC00000"/>
      <name val="Nissan Brand Light"/>
      <family val="2"/>
    </font>
    <font>
      <b/>
      <sz val="14"/>
      <color rgb="FF0000FF"/>
      <name val="Nissan Brand Light"/>
      <family val="2"/>
    </font>
    <font>
      <sz val="12"/>
      <color theme="1"/>
      <name val="Nissan Brand Light"/>
      <family val="2"/>
    </font>
    <font>
      <sz val="12"/>
      <color theme="1"/>
      <name val="Microsoft JhengHei"/>
      <family val="2"/>
    </font>
    <font>
      <sz val="16"/>
      <color rgb="FF000000"/>
      <name val="微軟正黑體"/>
      <family val="2"/>
      <charset val="136"/>
    </font>
    <font>
      <sz val="16"/>
      <color rgb="FF000000"/>
      <name val="Nissan Brand Light"/>
      <family val="2"/>
    </font>
    <font>
      <sz val="16"/>
      <color rgb="FF000000"/>
      <name val="Microsoft JhengHei"/>
      <family val="2"/>
    </font>
    <font>
      <sz val="16"/>
      <color rgb="FFFF0000"/>
      <name val="Nissan Brand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3" fontId="5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3" fontId="6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left" vertical="center" wrapText="1" readingOrder="1"/>
    </xf>
    <xf numFmtId="3" fontId="5" fillId="0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3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center" vertical="center" wrapText="1" readingOrder="1"/>
    </xf>
    <xf numFmtId="3" fontId="5" fillId="0" borderId="2" xfId="0" applyNumberFormat="1" applyFont="1" applyFill="1" applyBorder="1" applyAlignment="1">
      <alignment horizontal="center" vertical="center" wrapText="1" readingOrder="1"/>
    </xf>
    <xf numFmtId="0" fontId="7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 wrapText="1" readingOrder="1"/>
    </xf>
    <xf numFmtId="3" fontId="5" fillId="0" borderId="0" xfId="0" applyNumberFormat="1" applyFont="1" applyBorder="1" applyAlignment="1">
      <alignment horizontal="center" vertical="center" wrapText="1" readingOrder="1"/>
    </xf>
    <xf numFmtId="3" fontId="5" fillId="0" borderId="0" xfId="0" applyNumberFormat="1" applyFont="1" applyFill="1" applyBorder="1" applyAlignment="1">
      <alignment horizontal="center" vertical="center" wrapText="1" readingOrder="1"/>
    </xf>
    <xf numFmtId="0" fontId="8" fillId="0" borderId="0" xfId="0" applyFont="1" applyBorder="1" applyAlignment="1">
      <alignment horizontal="center" vertical="center"/>
    </xf>
    <xf numFmtId="182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 readingOrder="1"/>
    </xf>
    <xf numFmtId="0" fontId="10" fillId="2" borderId="3" xfId="0" applyFont="1" applyFill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3" fontId="10" fillId="0" borderId="3" xfId="0" applyNumberFormat="1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3" fontId="12" fillId="0" borderId="3" xfId="0" applyNumberFormat="1" applyFont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342E-9304-4167-B0AE-496D091B7847}">
  <dimension ref="B2:H30"/>
  <sheetViews>
    <sheetView tabSelected="1" zoomScale="85" zoomScaleNormal="85" workbookViewId="0">
      <selection activeCell="H10" sqref="H10"/>
    </sheetView>
  </sheetViews>
  <sheetFormatPr defaultRowHeight="17.399999999999999"/>
  <cols>
    <col min="1" max="1" width="8.6640625" style="7"/>
    <col min="2" max="5" width="23.25" style="7" customWidth="1"/>
    <col min="6" max="6" width="12.33203125" style="21" customWidth="1"/>
    <col min="7" max="7" width="23.25" style="7" customWidth="1"/>
    <col min="9" max="16384" width="8.6640625" style="7"/>
  </cols>
  <sheetData>
    <row r="2" spans="2:7" ht="19.8">
      <c r="B2" s="8" t="s">
        <v>8</v>
      </c>
      <c r="C2" s="8" t="s">
        <v>11</v>
      </c>
      <c r="D2" s="8" t="s">
        <v>10</v>
      </c>
      <c r="E2" s="18"/>
      <c r="F2" s="22"/>
      <c r="G2" s="8" t="s">
        <v>9</v>
      </c>
    </row>
    <row r="3" spans="2:7" ht="19.8">
      <c r="B3" s="2" t="s">
        <v>12</v>
      </c>
      <c r="C3" s="3">
        <v>0</v>
      </c>
      <c r="D3" s="1">
        <v>3271</v>
      </c>
      <c r="E3" s="19"/>
      <c r="F3" s="23"/>
      <c r="G3" s="1">
        <v>3271</v>
      </c>
    </row>
    <row r="4" spans="2:7" ht="19.8">
      <c r="B4" s="2" t="s">
        <v>0</v>
      </c>
      <c r="C4" s="3">
        <v>2520</v>
      </c>
      <c r="D4" s="1">
        <v>3271</v>
      </c>
      <c r="E4" s="19"/>
      <c r="F4" s="23"/>
      <c r="G4" s="1">
        <v>3271</v>
      </c>
    </row>
    <row r="5" spans="2:7" ht="19.8">
      <c r="B5" s="2" t="s">
        <v>1</v>
      </c>
      <c r="C5" s="3">
        <v>4240</v>
      </c>
      <c r="D5" s="1">
        <v>4135</v>
      </c>
      <c r="E5" s="19"/>
      <c r="F5" s="23"/>
      <c r="G5" s="1">
        <v>4135</v>
      </c>
    </row>
    <row r="6" spans="2:7" ht="19.8">
      <c r="B6" s="2" t="s">
        <v>2</v>
      </c>
      <c r="C6" s="3">
        <v>3200</v>
      </c>
      <c r="D6" s="1">
        <v>4935</v>
      </c>
      <c r="E6" s="19"/>
      <c r="F6" s="23"/>
      <c r="G6" s="1">
        <v>5007</v>
      </c>
    </row>
    <row r="7" spans="2:7" ht="19.8">
      <c r="B7" s="2" t="s">
        <v>3</v>
      </c>
      <c r="C7" s="3">
        <v>5750</v>
      </c>
      <c r="D7" s="1">
        <v>4135</v>
      </c>
      <c r="E7" s="19"/>
      <c r="F7" s="23"/>
      <c r="G7" s="1">
        <v>4135</v>
      </c>
    </row>
    <row r="8" spans="2:7" ht="19.8">
      <c r="B8" s="2" t="s">
        <v>4</v>
      </c>
      <c r="C8" s="3">
        <v>3200</v>
      </c>
      <c r="D8" s="1">
        <v>4495</v>
      </c>
      <c r="E8" s="19"/>
      <c r="F8" s="23"/>
      <c r="G8" s="1">
        <v>4423</v>
      </c>
    </row>
    <row r="9" spans="2:7" ht="19.8">
      <c r="B9" s="2" t="s">
        <v>5</v>
      </c>
      <c r="C9" s="3">
        <v>4240</v>
      </c>
      <c r="D9" s="1">
        <v>6011</v>
      </c>
      <c r="E9" s="19"/>
      <c r="F9" s="23"/>
      <c r="G9" s="1">
        <v>5951</v>
      </c>
    </row>
    <row r="10" spans="2:7" ht="19.8">
      <c r="B10" s="4" t="s">
        <v>6</v>
      </c>
      <c r="C10" s="3">
        <v>3200</v>
      </c>
      <c r="D10" s="5">
        <v>4063</v>
      </c>
      <c r="E10" s="20"/>
      <c r="F10" s="24"/>
      <c r="G10" s="5">
        <v>4063</v>
      </c>
    </row>
    <row r="11" spans="2:7" ht="19.8">
      <c r="B11" s="4" t="s">
        <v>7</v>
      </c>
      <c r="C11" s="3">
        <v>5750</v>
      </c>
      <c r="D11" s="5">
        <v>6759</v>
      </c>
      <c r="E11" s="20"/>
      <c r="F11" s="24"/>
      <c r="G11" s="5">
        <v>6903</v>
      </c>
    </row>
    <row r="12" spans="2:7" ht="19.8">
      <c r="B12" s="2" t="s">
        <v>13</v>
      </c>
      <c r="C12" s="1">
        <f>SUM(C3:C11)</f>
        <v>32100</v>
      </c>
      <c r="D12" s="1">
        <f t="shared" ref="D12" si="0">SUM(D3:D11)</f>
        <v>41075</v>
      </c>
      <c r="E12" s="19"/>
      <c r="F12" s="23"/>
      <c r="G12" s="1">
        <f>SUM(G3:G11)</f>
        <v>41159</v>
      </c>
    </row>
    <row r="15" spans="2:7">
      <c r="B15" s="13" t="s">
        <v>14</v>
      </c>
      <c r="C15" s="10" t="s">
        <v>16</v>
      </c>
      <c r="D15" s="10" t="s">
        <v>17</v>
      </c>
      <c r="E15" s="16" t="s">
        <v>28</v>
      </c>
      <c r="F15" s="25"/>
      <c r="G15" s="10" t="s">
        <v>18</v>
      </c>
    </row>
    <row r="16" spans="2:7">
      <c r="B16" s="13" t="s">
        <v>15</v>
      </c>
      <c r="C16" s="12">
        <v>1229000</v>
      </c>
      <c r="D16" s="12">
        <v>1239000</v>
      </c>
      <c r="E16" s="17">
        <f>C16-D16</f>
        <v>-10000</v>
      </c>
      <c r="F16" s="26"/>
      <c r="G16" s="12">
        <v>1129000</v>
      </c>
    </row>
    <row r="17" spans="2:7">
      <c r="B17" s="13" t="s">
        <v>19</v>
      </c>
      <c r="C17" s="12">
        <f>C12</f>
        <v>32100</v>
      </c>
      <c r="D17" s="12">
        <f t="shared" ref="D17" si="1">D12</f>
        <v>41075</v>
      </c>
      <c r="E17" s="17">
        <f t="shared" ref="E17:E22" si="2">C17-D17</f>
        <v>-8975</v>
      </c>
      <c r="F17" s="26"/>
      <c r="G17" s="12">
        <f>G12</f>
        <v>41159</v>
      </c>
    </row>
    <row r="18" spans="2:7">
      <c r="B18" s="13" t="s">
        <v>20</v>
      </c>
      <c r="C18" s="12">
        <f>80000/C28*$F$30</f>
        <v>151500</v>
      </c>
      <c r="D18" s="12">
        <f>80000/D28*$F$30</f>
        <v>116538.46153846155</v>
      </c>
      <c r="E18" s="17">
        <f>C18-D18</f>
        <v>34961.538461538454</v>
      </c>
      <c r="F18" s="26"/>
      <c r="G18" s="12">
        <f>80000/G28*$F$30</f>
        <v>154394.90445859873</v>
      </c>
    </row>
    <row r="19" spans="2:7">
      <c r="B19" s="13" t="s">
        <v>24</v>
      </c>
      <c r="C19" s="12">
        <f>4788*4</f>
        <v>19152</v>
      </c>
      <c r="D19" s="12">
        <f>7000*4</f>
        <v>28000</v>
      </c>
      <c r="E19" s="17">
        <f t="shared" si="2"/>
        <v>-8848</v>
      </c>
      <c r="F19" s="26"/>
      <c r="G19" s="12">
        <f>6800*4</f>
        <v>27200</v>
      </c>
    </row>
    <row r="20" spans="2:7">
      <c r="B20" s="13" t="s">
        <v>22</v>
      </c>
      <c r="C20" s="12">
        <v>24800</v>
      </c>
      <c r="D20" s="12">
        <v>126000</v>
      </c>
      <c r="E20" s="17">
        <f t="shared" si="2"/>
        <v>-101200</v>
      </c>
      <c r="F20" s="26"/>
      <c r="G20" s="12">
        <v>0</v>
      </c>
    </row>
    <row r="21" spans="2:7">
      <c r="B21" s="13" t="s">
        <v>23</v>
      </c>
      <c r="C21" s="12">
        <v>0</v>
      </c>
      <c r="D21" s="12">
        <v>22000</v>
      </c>
      <c r="E21" s="17">
        <f t="shared" si="2"/>
        <v>-22000</v>
      </c>
      <c r="F21" s="26"/>
      <c r="G21" s="12">
        <v>22000</v>
      </c>
    </row>
    <row r="22" spans="2:7">
      <c r="B22" s="11"/>
      <c r="C22" s="12">
        <f>SUM(C16:C21)</f>
        <v>1456552</v>
      </c>
      <c r="D22" s="12">
        <f t="shared" ref="D22" si="3">SUM(D16:D21)</f>
        <v>1572613.4615384615</v>
      </c>
      <c r="E22" s="17">
        <f t="shared" si="2"/>
        <v>-116061.4615384615</v>
      </c>
      <c r="F22" s="26"/>
      <c r="G22" s="12">
        <f>SUM(G16:G21)</f>
        <v>1373753.9044585987</v>
      </c>
    </row>
    <row r="28" spans="2:7">
      <c r="B28" s="15" t="s">
        <v>25</v>
      </c>
      <c r="C28" s="9">
        <v>16</v>
      </c>
      <c r="D28" s="9">
        <v>20.8</v>
      </c>
      <c r="E28" s="9"/>
      <c r="F28" s="27"/>
      <c r="G28" s="9">
        <v>15.7</v>
      </c>
    </row>
    <row r="29" spans="2:7">
      <c r="C29" s="9"/>
    </row>
    <row r="30" spans="2:7">
      <c r="F30" s="9">
        <v>30.3</v>
      </c>
      <c r="G30" s="9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8106-C89D-47CE-981C-D955D08232B1}">
  <dimension ref="B2:D5"/>
  <sheetViews>
    <sheetView workbookViewId="0">
      <selection activeCell="B26" sqref="B26"/>
    </sheetView>
  </sheetViews>
  <sheetFormatPr defaultRowHeight="15.6"/>
  <cols>
    <col min="3" max="4" width="8.6640625" style="6"/>
  </cols>
  <sheetData>
    <row r="2" spans="2:4">
      <c r="B2" s="6"/>
      <c r="C2" s="6" t="s">
        <v>30</v>
      </c>
      <c r="D2" s="6" t="s">
        <v>29</v>
      </c>
    </row>
    <row r="3" spans="2:4">
      <c r="B3" s="6"/>
      <c r="C3" s="6">
        <v>122.9</v>
      </c>
      <c r="D3" s="6">
        <v>120.9</v>
      </c>
    </row>
    <row r="4" spans="2:4">
      <c r="B4" s="6" t="s">
        <v>31</v>
      </c>
      <c r="C4" s="6">
        <v>95</v>
      </c>
      <c r="D4" s="6">
        <v>98</v>
      </c>
    </row>
    <row r="5" spans="2:4">
      <c r="B5" s="6" t="s">
        <v>32</v>
      </c>
      <c r="C5" s="6">
        <v>87</v>
      </c>
      <c r="D5" s="6">
        <v>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CC1E-4909-410A-AD3F-D728960AA206}">
  <dimension ref="B2:E14"/>
  <sheetViews>
    <sheetView workbookViewId="0">
      <selection activeCell="D15" sqref="D15"/>
    </sheetView>
  </sheetViews>
  <sheetFormatPr defaultRowHeight="15.6"/>
  <cols>
    <col min="2" max="5" width="27.5" customWidth="1"/>
  </cols>
  <sheetData>
    <row r="2" spans="2:5" ht="24">
      <c r="B2" s="28" t="s">
        <v>33</v>
      </c>
      <c r="C2" s="29" t="s">
        <v>34</v>
      </c>
      <c r="D2" s="29" t="s">
        <v>35</v>
      </c>
      <c r="E2" s="28" t="s">
        <v>27</v>
      </c>
    </row>
    <row r="3" spans="2:5" ht="24">
      <c r="B3" s="30" t="s">
        <v>37</v>
      </c>
      <c r="C3" s="31">
        <v>151500</v>
      </c>
      <c r="D3" s="31">
        <v>116538</v>
      </c>
      <c r="E3" s="31">
        <v>34962</v>
      </c>
    </row>
    <row r="4" spans="2:5" ht="24">
      <c r="B4" s="32" t="s">
        <v>21</v>
      </c>
      <c r="C4" s="31">
        <v>24800</v>
      </c>
      <c r="D4" s="31">
        <v>126000</v>
      </c>
      <c r="E4" s="33">
        <v>-101200</v>
      </c>
    </row>
    <row r="5" spans="2:5" ht="24">
      <c r="B5" s="32" t="s">
        <v>36</v>
      </c>
      <c r="C5" s="31">
        <v>176300</v>
      </c>
      <c r="D5" s="31">
        <v>242538</v>
      </c>
      <c r="E5" s="33">
        <v>-66238</v>
      </c>
    </row>
    <row r="7" spans="2:5" ht="24">
      <c r="B7" s="28" t="s">
        <v>33</v>
      </c>
      <c r="C7" s="29" t="s">
        <v>34</v>
      </c>
      <c r="D7" s="29" t="s">
        <v>35</v>
      </c>
      <c r="E7" s="28" t="s">
        <v>27</v>
      </c>
    </row>
    <row r="8" spans="2:5" ht="24">
      <c r="B8" s="30" t="s">
        <v>38</v>
      </c>
      <c r="C8" s="31">
        <f>160000/C12*$C$14</f>
        <v>303000</v>
      </c>
      <c r="D8" s="31">
        <f>160000/D12*$C$14</f>
        <v>233076.92307692309</v>
      </c>
      <c r="E8" s="31">
        <f>C8-D8</f>
        <v>69923.076923076907</v>
      </c>
    </row>
    <row r="9" spans="2:5" ht="24">
      <c r="B9" s="32" t="s">
        <v>21</v>
      </c>
      <c r="C9" s="31">
        <v>24800</v>
      </c>
      <c r="D9" s="31">
        <v>126000</v>
      </c>
      <c r="E9" s="33">
        <f t="shared" ref="E9:E10" si="0">C9-D9</f>
        <v>-101200</v>
      </c>
    </row>
    <row r="10" spans="2:5" ht="24">
      <c r="B10" s="32" t="s">
        <v>36</v>
      </c>
      <c r="C10" s="31">
        <f>SUM(C8:C9)</f>
        <v>327800</v>
      </c>
      <c r="D10" s="31">
        <f>SUM(D8:D9)</f>
        <v>359076.92307692312</v>
      </c>
      <c r="E10" s="33">
        <f t="shared" si="0"/>
        <v>-31276.923076923122</v>
      </c>
    </row>
    <row r="12" spans="2:5" ht="17.399999999999999">
      <c r="B12" s="14" t="s">
        <v>25</v>
      </c>
      <c r="C12" s="9">
        <v>16</v>
      </c>
      <c r="D12" s="9">
        <v>20.8</v>
      </c>
    </row>
    <row r="14" spans="2:5" ht="17.399999999999999">
      <c r="B14" s="9" t="s">
        <v>26</v>
      </c>
      <c r="C14" s="9">
        <v>30.3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使用成本</vt:lpstr>
      <vt:lpstr>折舊</vt:lpstr>
      <vt:lpstr>油耗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孫惟奎Peter Sun(裕日)</dc:creator>
  <cp:lastModifiedBy>孫惟奎Peter Sun(裕日)</cp:lastModifiedBy>
  <dcterms:created xsi:type="dcterms:W3CDTF">2025-04-11T01:02:09Z</dcterms:created>
  <dcterms:modified xsi:type="dcterms:W3CDTF">2025-04-11T05:39:39Z</dcterms:modified>
</cp:coreProperties>
</file>